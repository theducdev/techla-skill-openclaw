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20"/>
    </font>
    <font>
      <name val="Arial"/>
      <b val="1"/>
    </font>
    <font>
      <name val="Arial"/>
      <b val="1"/>
      <color rgb="00FFFFFF"/>
      <sz val="1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0" customWidth="1" min="4" max="4"/>
    <col width="18" customWidth="1" min="5" max="5"/>
    <col width="14" customWidth="1" min="6" max="6"/>
    <col width="20" customWidth="1" min="7" max="7"/>
  </cols>
  <sheetData>
    <row r="1">
      <c r="A1" s="1" t="inlineStr">
        <is>
          <t>CONG TY TNHH TECHLA</t>
        </is>
      </c>
    </row>
    <row r="2">
      <c r="A2" t="inlineStr">
        <is>
          <t>Dia chi: 123 Nguyen Hue, Q.1, TP.HCM</t>
        </is>
      </c>
    </row>
    <row r="3">
      <c r="A3" t="inlineStr">
        <is>
          <t>Dien thoai: 028-1234-5678 | Email: info@techla.vn</t>
        </is>
      </c>
    </row>
    <row r="4">
      <c r="A4" t="inlineStr">
        <is>
          <t>MST: 0123456789</t>
        </is>
      </c>
    </row>
    <row r="6">
      <c r="A6" s="2" t="inlineStr">
        <is>
          <t>BAO GIA</t>
        </is>
      </c>
    </row>
    <row r="8">
      <c r="A8" t="inlineStr">
        <is>
          <t>So bao gia:</t>
        </is>
      </c>
      <c r="B8" t="inlineStr">
        <is>
          <t>BG-20260403-001</t>
        </is>
      </c>
      <c r="D8" t="inlineStr">
        <is>
          <t>Ngay:</t>
        </is>
      </c>
      <c r="E8" t="inlineStr">
        <is>
          <t>03/04/2026</t>
        </is>
      </c>
    </row>
    <row r="9">
      <c r="A9" t="inlineStr">
        <is>
          <t>Hieu luc:</t>
        </is>
      </c>
      <c r="B9" t="inlineStr">
        <is>
          <t>30 ngay</t>
        </is>
      </c>
    </row>
    <row r="11">
      <c r="A11" s="3" t="inlineStr">
        <is>
          <t>THONG TIN KHACH HANG</t>
        </is>
      </c>
    </row>
    <row r="12">
      <c r="A12" t="inlineStr">
        <is>
          <t>Cong ty:</t>
        </is>
      </c>
      <c r="B12" t="inlineStr">
        <is>
          <t>[Ten cong ty khach hang]</t>
        </is>
      </c>
    </row>
    <row r="13">
      <c r="A13" t="inlineStr">
        <is>
          <t>Nguoi lien he:</t>
        </is>
      </c>
      <c r="B13" t="inlineStr">
        <is>
          <t>[Ho ten]</t>
        </is>
      </c>
    </row>
    <row r="14">
      <c r="A14" t="inlineStr">
        <is>
          <t>Dia chi:</t>
        </is>
      </c>
      <c r="B14" t="inlineStr">
        <is>
          <t>[Dia chi]</t>
        </is>
      </c>
    </row>
    <row r="15">
      <c r="A15" t="inlineStr">
        <is>
          <t>Dien thoai:</t>
        </is>
      </c>
      <c r="B15" t="inlineStr">
        <is>
          <t>[SDT]</t>
        </is>
      </c>
    </row>
    <row r="16">
      <c r="A16" t="inlineStr">
        <is>
          <t>MST:</t>
        </is>
      </c>
      <c r="B16" t="inlineStr">
        <is>
          <t>[MST]</t>
        </is>
      </c>
    </row>
    <row r="18">
      <c r="A18" s="4" t="inlineStr">
        <is>
          <t>STT</t>
        </is>
      </c>
      <c r="B18" s="4" t="inlineStr">
        <is>
          <t>Ten san pham/dich vu</t>
        </is>
      </c>
      <c r="C18" s="4" t="inlineStr">
        <is>
          <t>DVT</t>
        </is>
      </c>
      <c r="D18" s="4" t="inlineStr">
        <is>
          <t>So luong</t>
        </is>
      </c>
      <c r="E18" s="4" t="inlineStr">
        <is>
          <t>Don gia (VND)</t>
        </is>
      </c>
      <c r="F18" s="4" t="inlineStr">
        <is>
          <t>Chiet khau (%)</t>
        </is>
      </c>
      <c r="G18" s="4" t="inlineStr">
        <is>
          <t>Thanh tien (VND)</t>
        </is>
      </c>
    </row>
    <row r="19">
      <c r="A19" s="5" t="n">
        <v>1</v>
      </c>
      <c r="B19" s="5" t="inlineStr">
        <is>
          <t>Goi dich vu Marketing Online - Basic</t>
        </is>
      </c>
      <c r="C19" s="5" t="inlineStr">
        <is>
          <t>Thang</t>
        </is>
      </c>
      <c r="D19" s="6" t="n">
        <v>1</v>
      </c>
      <c r="E19" s="6" t="n">
        <v>5000000</v>
      </c>
      <c r="F19" s="6" t="n">
        <v>0</v>
      </c>
      <c r="G19" s="6">
        <f>D19*E19*(1-F19/100)</f>
        <v/>
      </c>
    </row>
    <row r="20">
      <c r="A20" s="5" t="n">
        <v>2</v>
      </c>
      <c r="B20" s="5" t="inlineStr">
        <is>
          <t>Thiet ke Banner quang cao</t>
        </is>
      </c>
      <c r="C20" s="5" t="inlineStr">
        <is>
          <t>Cai</t>
        </is>
      </c>
      <c r="D20" s="6" t="n">
        <v>10</v>
      </c>
      <c r="E20" s="6" t="n">
        <v>500000</v>
      </c>
      <c r="F20" s="6" t="n">
        <v>10</v>
      </c>
      <c r="G20" s="6">
        <f>D20*E20*(1-F20/100)</f>
        <v/>
      </c>
    </row>
    <row r="21">
      <c r="A21" s="5" t="n">
        <v>3</v>
      </c>
      <c r="B21" s="5" t="inlineStr">
        <is>
          <t>Chay quang cao Facebook Ads</t>
        </is>
      </c>
      <c r="C21" s="5" t="inlineStr">
        <is>
          <t>Thang</t>
        </is>
      </c>
      <c r="D21" s="6" t="n">
        <v>1</v>
      </c>
      <c r="E21" s="6" t="n">
        <v>3000000</v>
      </c>
      <c r="F21" s="6" t="n">
        <v>0</v>
      </c>
      <c r="G21" s="6">
        <f>D21*E21*(1-F21/100)</f>
        <v/>
      </c>
    </row>
    <row r="22">
      <c r="A22" s="5" t="n">
        <v>4</v>
      </c>
      <c r="B22" s="5" t="inlineStr">
        <is>
          <t>San xuat video ngan TikTok</t>
        </is>
      </c>
      <c r="C22" s="5" t="inlineStr">
        <is>
          <t>Video</t>
        </is>
      </c>
      <c r="D22" s="6" t="n">
        <v>4</v>
      </c>
      <c r="E22" s="6" t="n">
        <v>2000000</v>
      </c>
      <c r="F22" s="6" t="n">
        <v>5</v>
      </c>
      <c r="G22" s="6">
        <f>D22*E22*(1-F22/100)</f>
        <v/>
      </c>
    </row>
    <row r="23">
      <c r="A23" s="5" t="n">
        <v>5</v>
      </c>
      <c r="B23" s="5" t="inlineStr">
        <is>
          <t>Viet bai SEO website</t>
        </is>
      </c>
      <c r="C23" s="5" t="inlineStr">
        <is>
          <t>Bai</t>
        </is>
      </c>
      <c r="D23" s="6" t="n">
        <v>8</v>
      </c>
      <c r="E23" s="6" t="n">
        <v>300000</v>
      </c>
      <c r="F23" s="6" t="n">
        <v>0</v>
      </c>
      <c r="G23" s="6">
        <f>D23*E23*(1-F23/100)</f>
        <v/>
      </c>
    </row>
    <row r="25">
      <c r="E25" s="3" t="inlineStr">
        <is>
          <t>Tong cong truoc thue:</t>
        </is>
      </c>
      <c r="G25" s="7">
        <f>SUM(G19:G24)</f>
        <v/>
      </c>
    </row>
    <row r="26">
      <c r="E26" s="3" t="inlineStr">
        <is>
          <t>Thue VAT (10%):</t>
        </is>
      </c>
      <c r="G26" s="7">
        <f>G25*10%</f>
        <v/>
      </c>
    </row>
    <row r="27">
      <c r="E27" s="8" t="inlineStr">
        <is>
          <t>TONG CONG:</t>
        </is>
      </c>
      <c r="G27" s="9">
        <f>G25+G26</f>
        <v/>
      </c>
    </row>
    <row r="30">
      <c r="A30" s="3" t="inlineStr">
        <is>
          <t>DIEU KHOAN</t>
        </is>
      </c>
    </row>
    <row r="31">
      <c r="A31" t="inlineStr">
        <is>
          <t>- Thanh toan: 50% khi ky hop dong, 50% sau khi hoan thanh</t>
        </is>
      </c>
    </row>
    <row r="32">
      <c r="A32" t="inlineStr">
        <is>
          <t>- Thoi gian thuc hien: 30 ngay lam viec</t>
        </is>
      </c>
    </row>
    <row r="33">
      <c r="A33" t="inlineStr">
        <is>
          <t>- Bao hanh: 12 thang</t>
        </is>
      </c>
    </row>
    <row r="34">
      <c r="A34" t="inlineStr">
        <is>
          <t>- Bao gia co hieu luc 30 ngay ke tu ngay lap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